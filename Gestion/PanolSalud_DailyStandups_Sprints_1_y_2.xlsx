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BDEDAB16-39EF-474A-B305-6A667654649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print 1" sheetId="1" r:id="rId1"/>
    <sheet name="Sprint 2" sheetId="2" r:id="rId2"/>
    <sheet name="Fuen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3" i="1"/>
</calcChain>
</file>

<file path=xl/sharedStrings.xml><?xml version="1.0" encoding="utf-8"?>
<sst xmlns="http://schemas.openxmlformats.org/spreadsheetml/2006/main" count="91" uniqueCount="78">
  <si>
    <t>Daily Standups — Sprint 1</t>
  </si>
  <si>
    <t>Sistema Pañol Salud | Sprint 1 enfocado en inventario, catálogo, stock, trazabilidad y códigos de barras</t>
  </si>
  <si>
    <t>Objetivo del sprint</t>
  </si>
  <si>
    <t>Inventario: catálogo, categorías, ubicaciones, stock, movimientos y etiquetas PDF.</t>
  </si>
  <si>
    <t>Total daily</t>
  </si>
  <si>
    <t>Estado general</t>
  </si>
  <si>
    <t>Registro preparado para ceremonia Scrum / evidencia académica</t>
  </si>
  <si>
    <t>Con bloqueos</t>
  </si>
  <si>
    <t>Fecha</t>
  </si>
  <si>
    <t>Daily</t>
  </si>
  <si>
    <t>que hice ayer</t>
  </si>
  <si>
    <t>que hare hoy</t>
  </si>
  <si>
    <t>tengo algún bloque</t>
  </si>
  <si>
    <t>Daily #1</t>
  </si>
  <si>
    <t>Se finalizó la especificación de casos de uso, se revisó el modelo de datos PostgreSQL y se dejaron consideradas colecciones históricas en MongoDB.</t>
  </si>
  <si>
    <t>Definir la arquitectura del backend: comparar monolito, microservicios y monolito modular; mapear casos de uso a módulos y dejar una estructura inicial documentada.</t>
  </si>
  <si>
    <t>Sí. Falta definir la arquitectura base del backend; sin eso el código puede quedar mezclado y generar retraso.</t>
  </si>
  <si>
    <t>Daily #2</t>
  </si>
  <si>
    <t>Se cerró la arquitectura Modular Monolith + Hexagonal + Domain Events, se documentaron reglas de dependencia, módulos y flujos principales.</t>
  </si>
  <si>
    <t>Generar el código base del proyecto: Spring Boot + Java 21 + Maven, estructura de módulos, bootstrap, configuración de seguridad y módulo identity_access inicial.</t>
  </si>
  <si>
    <t>Parcial. Hay atención con la configuración de PostgreSQL, jOOQ y Flyway, porque las clases tipadas dependen de migraciones correctas.</t>
  </si>
  <si>
    <t>Daily #3</t>
  </si>
  <si>
    <t>Completar identity_access con User, Role, repositorio, LoginUseCase, LogoutUseCase, JwtTokenService y AuthController. Dejar la estructura inicial de catálogo.</t>
  </si>
  <si>
    <t>Menor. Curva de aprendizaje con jOOQ y validación de generación de clases desde el schema.</t>
  </si>
  <si>
    <t>Daily #4</t>
  </si>
  <si>
    <t>Se implementó infraestructura como código con Terraform para GCP, Cloud Run, Cloud SQL y Secret Manager. También quedó operativo el despliegue automatizado con GitHub Actions.</t>
  </si>
  <si>
    <t>Implementar CRUD backend de Implementos y Categorías con jOOQ, y avanzar en frontend con InventoryItemsPage y modales de creación.</t>
  </si>
  <si>
    <t>Sí. Hay que sincronizar los contratos JSON entre frontend y backend para evitar diferencias en las respuestas.</t>
  </si>
  <si>
    <t>Daily #5</t>
  </si>
  <si>
    <t>Se completó el CRUD de implementos con creación, edición y validaciones de unicidad. Se integró MongoDB para trazabilidad del historial de movimientos de stock.</t>
  </si>
  <si>
    <t>Implementar gestión de Ubicaciones físicas, integrar selector en frontend e iniciar StockController para ajustes de inventario.</t>
  </si>
  <si>
    <t>Parcial. Se deben validar filtros múltiples en frontend para evitar latencia con categoría, estado y búsqueda en tiempo real.</t>
  </si>
  <si>
    <t>Daily #6</t>
  </si>
  <si>
    <t>Se completó ABM de Ubicaciones y se integró al flujo de implementos. Los movimientos de stock ya transicionan entre estados y quedan registrados en MongoDB.</t>
  </si>
  <si>
    <t>Completar ingreso masivo por lotes, generar códigos de barras en PDF, congelar codebase, cargar datos de prueba y preparar la Sprint Review.</t>
  </si>
  <si>
    <t>No. El despliegue continuo está operacional y el sprint queda listo para cierre.</t>
  </si>
  <si>
    <t>Daily Standups — Sprint 2</t>
  </si>
  <si>
    <t>Sistema Pañol Salud | Primera semana del Sprint 2: autenticación completa y préstamos aún en construcción</t>
  </si>
  <si>
    <t>Auth + Préstamos Core: autenticación completa, contratos API y base del flujo de préstamos.</t>
  </si>
  <si>
    <t>Se revisó el cierre del Sprint 1 y se tomó como base el plan de acción: API-first para préstamos, concurrencia con SELECT FOR UPDATE/Redis y estabilización del flujo de autenticación.</t>
  </si>
  <si>
    <t>Completar el flujo de autenticación end-to-end con login por RUT, JWT, logout, roles y protección de rutas en frontend/backend. Preparar contratos iniciales para préstamos.</t>
  </si>
  <si>
    <t>Sí. Hubo problemas con variables de entorno en Terraform/GCP y Secret Manager; algunos despliegues no tomaban correctamente los valores esperados.</t>
  </si>
  <si>
    <t>Se dejó funcionando el flujo completo de autenticación: login, lectura de rol, sesión protegida, persistencia del token y navegación según rol. También se validó el manejo básico de errores.</t>
  </si>
  <si>
    <t>Definir estructura del módulo de préstamos: entidades, estados, endpoints base, request/response y vista inicial para solicitud de préstamo del Docente.</t>
  </si>
  <si>
    <t>Sí. Migraciones fallidas en Flyway/jOOQ al ajustar tablas de usuarios y préstamos; se requiere alinear schema antes de continuar con endpoints.</t>
  </si>
  <si>
    <t>Se corrigieron migraciones, se estabilizó autenticación en dev y se avanzó en contratos de préstamos. El frontend ya puede consumir auth, pero préstamos aún no está funcional de punta a punta.</t>
  </si>
  <si>
    <t>Iniciar implementación real de préstamos: crear solicitud, agregar productos, listar solicitudes del docente y preparar lógica de aprobación con reserva atómica de stock.</t>
  </si>
  <si>
    <t>Parcial. Falta cerrar la estrategia de concurrencia y validar ambientes de GCP; además los préstamos todavía no tienen flujo completo implementado.</t>
  </si>
  <si>
    <t>Fuentes y criterios usados para construir los daily</t>
  </si>
  <si>
    <t>Fuente</t>
  </si>
  <si>
    <t>Uso</t>
  </si>
  <si>
    <t>Archivo/URL</t>
  </si>
  <si>
    <t>Nota</t>
  </si>
  <si>
    <t>Excel de planificación</t>
  </si>
  <si>
    <t>Contexto de HU y alcance por sprint</t>
  </si>
  <si>
    <t>PanolSalud_v7_Final.xlsx</t>
  </si>
  <si>
    <t>Sprint 1: inventario; Sprint 2: auth + préstamos core.</t>
  </si>
  <si>
    <t>Daily Semana 1 Sprint 1</t>
  </si>
  <si>
    <t>Daily #1 al #3</t>
  </si>
  <si>
    <t>Daily_Standups_20-24_Abril.docx</t>
  </si>
  <si>
    <t>Se normalizó el año a 2026 por coherencia con los demás documentos.</t>
  </si>
  <si>
    <t>Daily Semana 2 Sprint 1</t>
  </si>
  <si>
    <t>Daily #4 al #6</t>
  </si>
  <si>
    <t>PanolSalud_Sprint1_Semana2_DailyStandups.docx</t>
  </si>
  <si>
    <t>Base directa para los avances de inventario.</t>
  </si>
  <si>
    <t>Sprint Review Sprint 1</t>
  </si>
  <si>
    <t>Validación de entregables</t>
  </si>
  <si>
    <t>PanolSalud_Sprint1_SprintReview.docx</t>
  </si>
  <si>
    <t>Inventario, lotes, stock, códigos de barras, MongoDB, CI/CD.</t>
  </si>
  <si>
    <t>Sprint Retrospective Sprint 1</t>
  </si>
  <si>
    <t>Bloqueos/mejoras Sprint 2</t>
  </si>
  <si>
    <t>PanolSalud_Sprint1_SprintRetrospective.docx</t>
  </si>
  <si>
    <t>API-first, concurrencia, Terraform, GCP y contratos frontend-backend.</t>
  </si>
  <si>
    <t>Repositorio</t>
  </si>
  <si>
    <t>Validación de contexto del proyecto</t>
  </si>
  <si>
    <t>https://github.com/IA-FullStack-Citt-Maipu/MA_TPY1101_Seccion001D_Grupo5/tree/dev</t>
  </si>
  <si>
    <t>Rama por defecto confirmada: dev.</t>
  </si>
  <si>
    <t>Se completó el setup del proyecto: Spring Boot, jOOQ, Flyway, Docker Compose con PostgreSQL/MongoDB/Redis, bootstrap de seguridad, CORS y shared.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</si>
</sst>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>
    <font>
      <sz val="11"/>
      <name val="Carlito"/>
    </font>
    <font>
      <b/>
      <sz val="14"/>
      <color rgb="FFFFFFFF"/>
      <name val="Carlito"/>
    </font>
    <font>
      <i/>
      <sz val="10"/>
      <color rgb="FF334155"/>
      <name val="Carlito"/>
    </font>
    <font>
      <b/>
      <sz val="11"/>
      <color rgb="FFFFFFFF"/>
      <name val="Carlito"/>
    </font>
    <font>
      <b/>
      <sz val="11"/>
      <name val="Carlito"/>
    </font>
    <font>
      <b/>
      <sz val="13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color rgb="FF1E40AF"/>
      </font>
      <fill>
        <patternFill patternType="solid">
          <bgColor rgb="FFDBEAFE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1DailyTable" displayName="Sprint1DailyTable" ref="A5:E11">
  <tableColumns count="5">
    <tableColumn id="1" xr3:uid="{00000000-0010-0000-0000-000001000000}" name="Fecha"/>
    <tableColumn id="2" xr3:uid="{00000000-0010-0000-0000-000002000000}" name="Daily"/>
    <tableColumn id="3" xr3:uid="{00000000-0010-0000-0000-000003000000}" name="que hice ayer"/>
    <tableColumn id="4" xr3:uid="{00000000-0010-0000-0000-000004000000}" name="que hare hoy"/>
    <tableColumn id="5" xr3:uid="{00000000-0010-0000-0000-000005000000}" name="tengo algún bloq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rint2DailyTable" displayName="Sprint2DailyTable" ref="A5:E8">
  <tableColumns count="5">
    <tableColumn id="1" xr3:uid="{00000000-0010-0000-0100-000001000000}" name="Fecha"/>
    <tableColumn id="2" xr3:uid="{00000000-0010-0000-0100-000002000000}" name="Daily"/>
    <tableColumn id="3" xr3:uid="{00000000-0010-0000-0100-000003000000}" name="que hice ayer"/>
    <tableColumn id="4" xr3:uid="{00000000-0010-0000-0100-000004000000}" name="que hare hoy"/>
    <tableColumn id="5" xr3:uid="{00000000-0010-0000-0100-000005000000}" name="tengo algún blo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entesTable" displayName="FuentesTable" ref="A3:D9">
  <tableColumns count="4">
    <tableColumn id="1" xr3:uid="{00000000-0010-0000-0200-000001000000}" name="Fuente"/>
    <tableColumn id="2" xr3:uid="{00000000-0010-0000-0200-000002000000}" name="Uso"/>
    <tableColumn id="3" xr3:uid="{00000000-0010-0000-0200-000003000000}" name="Archivo/URL"/>
    <tableColumn id="4" xr3:uid="{00000000-0010-0000-0200-000004000000}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70" zoomScaleNormal="70" workbookViewId="0">
      <selection activeCell="E7" sqref="E7"/>
    </sheetView>
  </sheetViews>
  <sheetFormatPr baseColWidth="10" defaultColWidth="8.796875" defaultRowHeight="13.8"/>
  <cols>
    <col min="1" max="1" width="14" customWidth="1"/>
    <col min="2" max="2" width="12" customWidth="1"/>
    <col min="3" max="4" width="45" customWidth="1"/>
    <col min="5" max="5" width="38" customWidth="1"/>
  </cols>
  <sheetData>
    <row r="1" spans="1:5" ht="22.35" customHeight="1">
      <c r="A1" s="8" t="s">
        <v>0</v>
      </c>
      <c r="B1" s="9"/>
      <c r="C1" s="9"/>
      <c r="D1" s="9"/>
      <c r="E1" s="9"/>
    </row>
    <row r="2" spans="1:5" ht="19.2" customHeight="1">
      <c r="A2" s="10" t="s">
        <v>1</v>
      </c>
      <c r="B2" s="9"/>
      <c r="C2" s="9"/>
      <c r="D2" s="9"/>
      <c r="E2" s="9"/>
    </row>
    <row r="3" spans="1:5">
      <c r="A3" s="1" t="s">
        <v>2</v>
      </c>
      <c r="B3" s="11" t="s">
        <v>3</v>
      </c>
      <c r="C3" s="9"/>
      <c r="D3" s="1" t="s">
        <v>4</v>
      </c>
      <c r="E3" s="3">
        <f>COUNTA(B6:B11)</f>
        <v>6</v>
      </c>
    </row>
    <row r="4" spans="1:5">
      <c r="A4" s="1" t="s">
        <v>5</v>
      </c>
      <c r="B4" s="9" t="s">
        <v>6</v>
      </c>
      <c r="C4" s="9"/>
      <c r="D4" s="1" t="s">
        <v>7</v>
      </c>
      <c r="E4" s="3">
        <v>5</v>
      </c>
    </row>
    <row r="5" spans="1:5" ht="20.85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</row>
    <row r="6" spans="1:5" ht="73.650000000000006" customHeight="1">
      <c r="A6" s="6">
        <v>46132</v>
      </c>
      <c r="B6" s="7" t="s">
        <v>13</v>
      </c>
      <c r="C6" s="7" t="s">
        <v>14</v>
      </c>
      <c r="D6" s="7" t="s">
        <v>15</v>
      </c>
      <c r="E6" s="7" t="s">
        <v>16</v>
      </c>
    </row>
    <row r="7" spans="1:5" ht="73.650000000000006" customHeight="1">
      <c r="A7" s="6">
        <v>46134</v>
      </c>
      <c r="B7" s="7" t="s">
        <v>17</v>
      </c>
      <c r="C7" s="7" t="s">
        <v>18</v>
      </c>
      <c r="D7" s="7" t="s">
        <v>19</v>
      </c>
      <c r="E7" s="7" t="s">
        <v>20</v>
      </c>
    </row>
    <row r="8" spans="1:5" ht="73.650000000000006" customHeight="1">
      <c r="A8" s="6">
        <v>46136</v>
      </c>
      <c r="B8" s="7" t="s">
        <v>21</v>
      </c>
      <c r="C8" s="7" t="s">
        <v>77</v>
      </c>
      <c r="D8" s="7" t="s">
        <v>22</v>
      </c>
      <c r="E8" s="7" t="s">
        <v>23</v>
      </c>
    </row>
    <row r="9" spans="1:5" ht="73.650000000000006" customHeight="1">
      <c r="A9" s="6">
        <v>46139</v>
      </c>
      <c r="B9" s="7" t="s">
        <v>24</v>
      </c>
      <c r="C9" s="7" t="s">
        <v>25</v>
      </c>
      <c r="D9" s="7" t="s">
        <v>26</v>
      </c>
      <c r="E9" s="7" t="s">
        <v>27</v>
      </c>
    </row>
    <row r="10" spans="1:5" ht="73.650000000000006" customHeight="1">
      <c r="A10" s="6">
        <v>46141</v>
      </c>
      <c r="B10" s="7" t="s">
        <v>28</v>
      </c>
      <c r="C10" s="7" t="s">
        <v>29</v>
      </c>
      <c r="D10" s="7" t="s">
        <v>30</v>
      </c>
      <c r="E10" s="7" t="s">
        <v>31</v>
      </c>
    </row>
    <row r="11" spans="1:5" ht="73.650000000000006" customHeight="1">
      <c r="A11" s="6">
        <v>46143</v>
      </c>
      <c r="B11" s="7" t="s">
        <v>32</v>
      </c>
      <c r="C11" s="7" t="s">
        <v>33</v>
      </c>
      <c r="D11" s="7" t="s">
        <v>34</v>
      </c>
      <c r="E11" s="7" t="s">
        <v>35</v>
      </c>
    </row>
  </sheetData>
  <mergeCells count="3">
    <mergeCell ref="A1:E1"/>
    <mergeCell ref="A2:E2"/>
    <mergeCell ref="B3:C4"/>
  </mergeCells>
  <conditionalFormatting sqref="E6:E11">
    <cfRule type="expression" dxfId="7" priority="1">
      <formula>ISNUMBER(SEARCH("Sí",E6))</formula>
    </cfRule>
    <cfRule type="expression" dxfId="6" priority="2">
      <formula>ISNUMBER(SEARCH("Parcial",E6))</formula>
    </cfRule>
    <cfRule type="expression" dxfId="5" priority="3">
      <formula>ISNUMBER(SEARCH("No.",E6))</formula>
    </cfRule>
    <cfRule type="expression" dxfId="4" priority="4">
      <formula>ISNUMBER(SEARCH("Menor",E6))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sqref="A1:E1"/>
    </sheetView>
  </sheetViews>
  <sheetFormatPr baseColWidth="10" defaultColWidth="8.796875" defaultRowHeight="13.8"/>
  <cols>
    <col min="1" max="1" width="14" customWidth="1"/>
    <col min="2" max="2" width="12" customWidth="1"/>
    <col min="3" max="4" width="45" customWidth="1"/>
    <col min="5" max="5" width="38" customWidth="1"/>
  </cols>
  <sheetData>
    <row r="1" spans="1:5" ht="22.35" customHeight="1">
      <c r="A1" s="8" t="s">
        <v>36</v>
      </c>
      <c r="B1" s="9"/>
      <c r="C1" s="9"/>
      <c r="D1" s="9"/>
      <c r="E1" s="9"/>
    </row>
    <row r="2" spans="1:5" ht="19.2" customHeight="1">
      <c r="A2" s="10" t="s">
        <v>37</v>
      </c>
      <c r="B2" s="9"/>
      <c r="C2" s="9"/>
      <c r="D2" s="9"/>
      <c r="E2" s="9"/>
    </row>
    <row r="3" spans="1:5">
      <c r="A3" s="1" t="s">
        <v>2</v>
      </c>
      <c r="B3" s="11" t="s">
        <v>38</v>
      </c>
      <c r="C3" s="9"/>
      <c r="D3" s="1" t="s">
        <v>4</v>
      </c>
      <c r="E3" s="3">
        <f>COUNTA(B6:B8)</f>
        <v>3</v>
      </c>
    </row>
    <row r="4" spans="1:5">
      <c r="A4" s="1" t="s">
        <v>5</v>
      </c>
      <c r="B4" s="9" t="s">
        <v>6</v>
      </c>
      <c r="C4" s="9"/>
      <c r="D4" s="1" t="s">
        <v>7</v>
      </c>
      <c r="E4" s="3">
        <v>3</v>
      </c>
    </row>
    <row r="5" spans="1:5" ht="20.85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</row>
    <row r="6" spans="1:5" ht="73.650000000000006" customHeight="1">
      <c r="A6" s="6">
        <v>46146</v>
      </c>
      <c r="B6" s="7" t="s">
        <v>13</v>
      </c>
      <c r="C6" s="7" t="s">
        <v>39</v>
      </c>
      <c r="D6" s="7" t="s">
        <v>40</v>
      </c>
      <c r="E6" s="7" t="s">
        <v>41</v>
      </c>
    </row>
    <row r="7" spans="1:5" ht="73.650000000000006" customHeight="1">
      <c r="A7" s="6">
        <v>46148</v>
      </c>
      <c r="B7" s="7" t="s">
        <v>17</v>
      </c>
      <c r="C7" s="7" t="s">
        <v>42</v>
      </c>
      <c r="D7" s="7" t="s">
        <v>43</v>
      </c>
      <c r="E7" s="7" t="s">
        <v>44</v>
      </c>
    </row>
    <row r="8" spans="1:5" ht="73.650000000000006" customHeight="1">
      <c r="A8" s="6">
        <v>46150</v>
      </c>
      <c r="B8" s="7" t="s">
        <v>21</v>
      </c>
      <c r="C8" s="7" t="s">
        <v>45</v>
      </c>
      <c r="D8" s="7" t="s">
        <v>46</v>
      </c>
      <c r="E8" s="7" t="s">
        <v>47</v>
      </c>
    </row>
  </sheetData>
  <mergeCells count="3">
    <mergeCell ref="A1:E1"/>
    <mergeCell ref="A2:E2"/>
    <mergeCell ref="B3:C4"/>
  </mergeCells>
  <conditionalFormatting sqref="E6:E8">
    <cfRule type="expression" dxfId="3" priority="1">
      <formula>ISNUMBER(SEARCH("Sí",E6))</formula>
    </cfRule>
    <cfRule type="expression" dxfId="2" priority="2">
      <formula>ISNUMBER(SEARCH("Parcial",E6))</formula>
    </cfRule>
    <cfRule type="expression" dxfId="1" priority="3">
      <formula>ISNUMBER(SEARCH("No.",E6))</formula>
    </cfRule>
    <cfRule type="expression" dxfId="0" priority="4">
      <formula>ISNUMBER(SEARCH("Menor",E6))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sqref="A1:D1"/>
    </sheetView>
  </sheetViews>
  <sheetFormatPr baseColWidth="10" defaultColWidth="8.796875" defaultRowHeight="13.8"/>
  <cols>
    <col min="1" max="1" width="26" customWidth="1"/>
    <col min="2" max="2" width="38" customWidth="1"/>
    <col min="3" max="3" width="62" customWidth="1"/>
    <col min="4" max="4" width="54" customWidth="1"/>
  </cols>
  <sheetData>
    <row r="1" spans="1:4" ht="16.8">
      <c r="A1" s="12" t="s">
        <v>48</v>
      </c>
      <c r="B1" s="9"/>
      <c r="C1" s="9"/>
      <c r="D1" s="9"/>
    </row>
    <row r="3" spans="1:4">
      <c r="A3" s="4" t="s">
        <v>49</v>
      </c>
      <c r="B3" s="4" t="s">
        <v>50</v>
      </c>
      <c r="C3" s="4" t="s">
        <v>51</v>
      </c>
      <c r="D3" s="4" t="s">
        <v>52</v>
      </c>
    </row>
    <row r="4" spans="1:4" ht="38.4" customHeight="1">
      <c r="A4" s="2" t="s">
        <v>53</v>
      </c>
      <c r="B4" s="2" t="s">
        <v>54</v>
      </c>
      <c r="C4" s="2" t="s">
        <v>55</v>
      </c>
      <c r="D4" s="2" t="s">
        <v>56</v>
      </c>
    </row>
    <row r="5" spans="1:4" ht="38.4" customHeight="1">
      <c r="A5" s="2" t="s">
        <v>57</v>
      </c>
      <c r="B5" s="2" t="s">
        <v>58</v>
      </c>
      <c r="C5" s="2" t="s">
        <v>59</v>
      </c>
      <c r="D5" s="2" t="s">
        <v>60</v>
      </c>
    </row>
    <row r="6" spans="1:4" ht="38.4" customHeight="1">
      <c r="A6" s="2" t="s">
        <v>61</v>
      </c>
      <c r="B6" s="2" t="s">
        <v>62</v>
      </c>
      <c r="C6" s="2" t="s">
        <v>63</v>
      </c>
      <c r="D6" s="2" t="s">
        <v>64</v>
      </c>
    </row>
    <row r="7" spans="1:4" ht="38.4" customHeight="1">
      <c r="A7" s="2" t="s">
        <v>65</v>
      </c>
      <c r="B7" s="2" t="s">
        <v>66</v>
      </c>
      <c r="C7" s="2" t="s">
        <v>67</v>
      </c>
      <c r="D7" s="2" t="s">
        <v>68</v>
      </c>
    </row>
    <row r="8" spans="1:4" ht="38.4" customHeight="1">
      <c r="A8" s="2" t="s">
        <v>69</v>
      </c>
      <c r="B8" s="2" t="s">
        <v>70</v>
      </c>
      <c r="C8" s="2" t="s">
        <v>71</v>
      </c>
      <c r="D8" s="2" t="s">
        <v>72</v>
      </c>
    </row>
    <row r="9" spans="1:4" ht="38.4" customHeight="1">
      <c r="A9" s="2" t="s">
        <v>73</v>
      </c>
      <c r="B9" s="2" t="s">
        <v>74</v>
      </c>
      <c r="C9" s="2" t="s">
        <v>75</v>
      </c>
      <c r="D9" s="2" t="s">
        <v>76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Sprint 1</vt:lpstr>
      <vt:lpstr>Sprint 2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AUGUSTO ROJAS RAMOS</cp:lastModifiedBy>
  <dcterms:modified xsi:type="dcterms:W3CDTF">2026-05-11T16:49:25Z</dcterms:modified>
</cp:coreProperties>
</file>